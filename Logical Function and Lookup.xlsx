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941" documentId="11_0B1D56BE9CDCCE836B02CE7A5FB0D4A9BBFD1C62" xr6:coauthVersionLast="47" xr6:coauthVersionMax="47" xr10:uidLastSave="{074D1640-A16C-44DE-945B-E848564B62D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H25" i="1"/>
  <c r="H26" i="1"/>
  <c r="H27" i="1"/>
  <c r="C27" i="1"/>
  <c r="K18" i="1"/>
  <c r="H6" i="1"/>
  <c r="H7" i="1"/>
  <c r="H8" i="1"/>
  <c r="H5" i="1"/>
  <c r="L6" i="1"/>
  <c r="L7" i="1"/>
  <c r="L8" i="1"/>
  <c r="L9" i="1"/>
  <c r="L5" i="1"/>
  <c r="L24" i="1"/>
  <c r="L25" i="1"/>
  <c r="L26" i="1"/>
  <c r="L27" i="1"/>
  <c r="L23" i="1"/>
</calcChain>
</file>

<file path=xl/sharedStrings.xml><?xml version="1.0" encoding="utf-8"?>
<sst xmlns="http://schemas.openxmlformats.org/spreadsheetml/2006/main" count="75" uniqueCount="58">
  <si>
    <t>Ans.8</t>
  </si>
  <si>
    <t>Ans.2</t>
  </si>
  <si>
    <t>Ans.3</t>
  </si>
  <si>
    <t>EmpID</t>
  </si>
  <si>
    <t>Salary</t>
  </si>
  <si>
    <t>Employee</t>
  </si>
  <si>
    <t>Sales</t>
  </si>
  <si>
    <t>Attendence</t>
  </si>
  <si>
    <t>Bonus</t>
  </si>
  <si>
    <t>Student Name</t>
  </si>
  <si>
    <t>Marks</t>
  </si>
  <si>
    <t>Result</t>
  </si>
  <si>
    <t>E103</t>
  </si>
  <si>
    <t>HR</t>
  </si>
  <si>
    <t>Arjun</t>
  </si>
  <si>
    <t xml:space="preserve">Raj </t>
  </si>
  <si>
    <t>E303</t>
  </si>
  <si>
    <t>IT</t>
  </si>
  <si>
    <t>Simran</t>
  </si>
  <si>
    <t>Neha</t>
  </si>
  <si>
    <t>E106</t>
  </si>
  <si>
    <t>Sales Amount</t>
  </si>
  <si>
    <t>Rohit</t>
  </si>
  <si>
    <t>Vivek</t>
  </si>
  <si>
    <t>E301</t>
  </si>
  <si>
    <t>Finance</t>
  </si>
  <si>
    <t>Anjali</t>
  </si>
  <si>
    <t>Rani</t>
  </si>
  <si>
    <t>Sneha</t>
  </si>
  <si>
    <t>Ans.7</t>
  </si>
  <si>
    <t>Ans.4</t>
  </si>
  <si>
    <t>E104</t>
  </si>
  <si>
    <t>Name</t>
  </si>
  <si>
    <t>Department</t>
  </si>
  <si>
    <t>E105</t>
  </si>
  <si>
    <t>E101</t>
  </si>
  <si>
    <t xml:space="preserve">Raju </t>
  </si>
  <si>
    <t>E102</t>
  </si>
  <si>
    <t>Riya</t>
  </si>
  <si>
    <t>Roshini</t>
  </si>
  <si>
    <t>Finanace</t>
  </si>
  <si>
    <t>Answer</t>
  </si>
  <si>
    <t>Sejal</t>
  </si>
  <si>
    <t>Ans.5</t>
  </si>
  <si>
    <t>Ans.1</t>
  </si>
  <si>
    <t>Commission Rate</t>
  </si>
  <si>
    <t>Ans.6</t>
  </si>
  <si>
    <t xml:space="preserve">Riya </t>
  </si>
  <si>
    <t>Employee Name</t>
  </si>
  <si>
    <t xml:space="preserve"> Leaves Taken</t>
  </si>
  <si>
    <t>Leaves Allowed</t>
  </si>
  <si>
    <t>Leave Balance</t>
  </si>
  <si>
    <t xml:space="preserve">Siya </t>
  </si>
  <si>
    <t>Alex</t>
  </si>
  <si>
    <t>Bob</t>
  </si>
  <si>
    <t>Rahul</t>
  </si>
  <si>
    <t>Anna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</si>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</sst>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charset val="1"/>
    </font>
    <font>
      <sz val="11"/>
      <color rgb="FFC0C238"/>
      <name val="Aptos Narrow"/>
      <family val="2"/>
      <scheme val="minor"/>
    </font>
    <font>
      <b/>
      <sz val="11"/>
      <color rgb="FF92942F"/>
      <name val="Aptos Narrow"/>
      <family val="2"/>
      <scheme val="minor"/>
    </font>
    <font>
      <b/>
      <sz val="12"/>
      <color rgb="FF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EBA"/>
        <bgColor indexed="64"/>
      </patternFill>
    </fill>
    <fill>
      <patternFill patternType="solid">
        <fgColor rgb="FFFFF7BD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/>
      <diagonal/>
    </border>
    <border>
      <left style="thin">
        <color theme="3" tint="9.9978637043366805E-2"/>
      </left>
      <right/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6" borderId="10" xfId="0" applyFont="1" applyFill="1" applyBorder="1" applyAlignment="1">
      <alignment horizontal="center"/>
    </xf>
    <xf numFmtId="0" fontId="0" fillId="6" borderId="11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6" borderId="8" xfId="0" applyFont="1" applyFill="1" applyBorder="1" applyAlignment="1">
      <alignment horizontal="center"/>
    </xf>
    <xf numFmtId="0" fontId="0" fillId="6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7" borderId="1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wrapText="1"/>
    </xf>
    <xf numFmtId="0" fontId="10" fillId="3" borderId="6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9" fontId="2" fillId="9" borderId="1" xfId="0" applyNumberFormat="1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6" fillId="5" borderId="14" xfId="0" applyFont="1" applyFill="1" applyBorder="1" applyAlignment="1">
      <alignment horizontal="center"/>
    </xf>
    <xf numFmtId="0" fontId="13" fillId="0" borderId="0" xfId="0" applyFont="1"/>
    <xf numFmtId="0" fontId="14" fillId="10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5" fillId="5" borderId="0" xfId="0" applyFont="1" applyFill="1"/>
    <xf numFmtId="0" fontId="0" fillId="0" borderId="0" xfId="0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9" fontId="0" fillId="8" borderId="1" xfId="0" applyNumberFormat="1" applyFont="1" applyFill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9" fontId="0" fillId="0" borderId="14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5">
    <dxf>
      <font>
        <b/>
        <color theme="9" tint="-0.499984740745262"/>
      </font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  <fill>
        <patternFill patternType="solid">
          <fgColor indexed="64"/>
          <bgColor theme="2"/>
        </patternFill>
      </fill>
      <alignment horizontal="center"/>
    </dxf>
  </dxfs>
  <tableStyles count="0" defaultTableStyle="TableStyleMedium2" defaultPivotStyle="PivotStyleMedium9"/>
  <colors>
    <mruColors>
      <color rgb="FFFFF7BD"/>
      <color rgb="FF92942F"/>
      <color rgb="FFC0C238"/>
      <color rgb="FFF5E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12</xdr:row>
      <xdr:rowOff>47625</xdr:rowOff>
    </xdr:from>
    <xdr:to>
      <xdr:col>7</xdr:col>
      <xdr:colOff>800100</xdr:colOff>
      <xdr:row>15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B27C9-8931-766D-38FA-E7D2F99B8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3088" r="3721" b="46284"/>
        <a:stretch>
          <a:fillRect/>
        </a:stretch>
      </xdr:blipFill>
      <xdr:spPr>
        <a:xfrm>
          <a:off x="3429000" y="1971675"/>
          <a:ext cx="3943350" cy="619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4A728-6D0D-4E47-96E4-EBC1CF1FBC53}" name="Table1" displayName="Table1" ref="J22:L27" totalsRowShown="0" headerRowDxfId="4" dataDxfId="3">
  <autoFilter ref="J22:L27" xr:uid="{F844A728-6D0D-4E47-96E4-EBC1CF1FBC53}">
    <filterColumn colId="0" hiddenButton="1"/>
    <filterColumn colId="1" hiddenButton="1"/>
    <filterColumn colId="2" hiddenButton="1"/>
  </autoFilter>
  <tableColumns count="3">
    <tableColumn id="1" xr3:uid="{73AF688D-2C7F-4067-A9D4-B35C6F69C457}" name="Student Name" dataDxfId="2"/>
    <tableColumn id="2" xr3:uid="{F1BB222C-A2FD-4C36-ADB1-D977D1793168}" name="Marks" dataDxfId="1"/>
    <tableColumn id="3" xr3:uid="{E6803A57-6371-49A0-8710-8713CDF62E3F}" name="Result" dataDxfId="0">
      <calculatedColumnFormula>IF(K23&gt;=40,"Pass","Fail")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7"/>
  <sheetViews>
    <sheetView tabSelected="1" workbookViewId="0">
      <selection activeCell="H10" sqref="H10"/>
    </sheetView>
  </sheetViews>
  <sheetFormatPr defaultRowHeight="15"/>
  <cols>
    <col min="1" max="1" width="8.140625" customWidth="1"/>
    <col min="2" max="2" width="12.85546875" customWidth="1"/>
    <col min="3" max="3" width="17" customWidth="1"/>
    <col min="4" max="4" width="12.28515625" bestFit="1" customWidth="1"/>
    <col min="5" max="5" width="16.28515625" customWidth="1"/>
    <col min="6" max="6" width="16.5703125" customWidth="1"/>
    <col min="7" max="7" width="15.42578125" bestFit="1" customWidth="1"/>
    <col min="8" max="8" width="14.42578125" bestFit="1" customWidth="1"/>
    <col min="9" max="9" width="7.85546875" customWidth="1"/>
    <col min="10" max="10" width="14.28515625" customWidth="1"/>
    <col min="11" max="11" width="16.5703125" bestFit="1" customWidth="1"/>
    <col min="12" max="12" width="12.28515625" bestFit="1" customWidth="1"/>
    <col min="13" max="13" width="6.85546875" bestFit="1" customWidth="1"/>
  </cols>
  <sheetData>
    <row r="2" spans="2:12" ht="15.75">
      <c r="B2" s="52" t="s">
        <v>0</v>
      </c>
      <c r="E2" s="52" t="s">
        <v>1</v>
      </c>
      <c r="J2" s="52" t="s">
        <v>2</v>
      </c>
    </row>
    <row r="4" spans="2:12" ht="15.75">
      <c r="B4" s="47" t="s">
        <v>3</v>
      </c>
      <c r="C4" s="47" t="s">
        <v>4</v>
      </c>
      <c r="E4" s="22" t="s">
        <v>5</v>
      </c>
      <c r="F4" s="23" t="s">
        <v>6</v>
      </c>
      <c r="G4" s="24" t="s">
        <v>7</v>
      </c>
      <c r="H4" s="24" t="s">
        <v>8</v>
      </c>
      <c r="J4" s="13" t="s">
        <v>9</v>
      </c>
      <c r="K4" s="13" t="s">
        <v>10</v>
      </c>
      <c r="L4" s="14" t="s">
        <v>11</v>
      </c>
    </row>
    <row r="5" spans="2:12">
      <c r="B5" s="34" t="s">
        <v>12</v>
      </c>
      <c r="C5" s="34" t="s">
        <v>13</v>
      </c>
      <c r="E5" s="17" t="s">
        <v>14</v>
      </c>
      <c r="F5" s="18">
        <v>55000</v>
      </c>
      <c r="G5" s="18">
        <v>95</v>
      </c>
      <c r="H5" s="11" t="str">
        <f>IF(AND(F5&gt;40000,G5&gt;=90),"Granted","Rejected")</f>
        <v>Granted</v>
      </c>
      <c r="J5" s="3" t="s">
        <v>15</v>
      </c>
      <c r="K5" s="3">
        <v>85</v>
      </c>
      <c r="L5" s="28" t="str">
        <f>IF(K5&gt;=90,"A", IF(K5&gt;=75,"B",IF(K5&gt;=50,"C","Fail")))</f>
        <v>B</v>
      </c>
    </row>
    <row r="6" spans="2:12">
      <c r="B6" s="33" t="s">
        <v>16</v>
      </c>
      <c r="C6" s="33" t="s">
        <v>17</v>
      </c>
      <c r="E6" s="19" t="s">
        <v>18</v>
      </c>
      <c r="F6" s="19">
        <v>65000</v>
      </c>
      <c r="G6" s="19">
        <v>85</v>
      </c>
      <c r="H6" s="12" t="str">
        <f t="shared" ref="H6:H8" si="0">IF(AND(F6&gt;40000,G6&gt;=90),"Granted","Rejected")</f>
        <v>Rejected</v>
      </c>
      <c r="J6" s="2" t="s">
        <v>19</v>
      </c>
      <c r="K6" s="2">
        <v>96</v>
      </c>
      <c r="L6" s="29" t="str">
        <f>IF(K6&gt;=90,"A", IF(K6&gt;=75,"B",IF(K6&gt;=50,"C","Fail")))</f>
        <v>A</v>
      </c>
    </row>
    <row r="7" spans="2:12">
      <c r="B7" s="34" t="s">
        <v>20</v>
      </c>
      <c r="C7" s="34" t="s">
        <v>21</v>
      </c>
      <c r="E7" s="18" t="s">
        <v>22</v>
      </c>
      <c r="F7" s="18">
        <v>30000</v>
      </c>
      <c r="G7" s="18">
        <v>90</v>
      </c>
      <c r="H7" s="11" t="str">
        <f t="shared" si="0"/>
        <v>Rejected</v>
      </c>
      <c r="J7" s="3" t="s">
        <v>23</v>
      </c>
      <c r="K7" s="3">
        <v>97</v>
      </c>
      <c r="L7" s="28" t="str">
        <f>IF(K7&gt;=90,"A", IF(K7&gt;=75,"B",IF(K7&gt;=50,"C","Fail")))</f>
        <v>A</v>
      </c>
    </row>
    <row r="8" spans="2:12">
      <c r="B8" s="33" t="s">
        <v>24</v>
      </c>
      <c r="C8" s="33" t="s">
        <v>25</v>
      </c>
      <c r="E8" s="19" t="s">
        <v>26</v>
      </c>
      <c r="F8" s="19">
        <v>25000</v>
      </c>
      <c r="G8" s="19">
        <v>65</v>
      </c>
      <c r="H8" s="12" t="str">
        <f t="shared" si="0"/>
        <v>Rejected</v>
      </c>
      <c r="J8" s="2" t="s">
        <v>27</v>
      </c>
      <c r="K8" s="2">
        <v>92</v>
      </c>
      <c r="L8" s="29" t="str">
        <f>IF(K8&gt;=90,"A", IF(K8&gt;=75,"B",IF(K8&gt;=50,"C","Fail")))</f>
        <v>A</v>
      </c>
    </row>
    <row r="9" spans="2:12">
      <c r="B9" s="53"/>
      <c r="C9" s="53"/>
      <c r="E9" s="51"/>
      <c r="F9" s="51"/>
      <c r="G9" s="51"/>
      <c r="H9" s="58"/>
      <c r="J9" s="4" t="s">
        <v>28</v>
      </c>
      <c r="K9" s="4">
        <v>75</v>
      </c>
      <c r="L9" s="30" t="str">
        <f t="shared" ref="L9" si="1">IF(K9&gt;=90,"A", IF(K9&gt;=75,"B",IF(K9&gt;=50,"C","Fail")))</f>
        <v>B</v>
      </c>
    </row>
    <row r="10" spans="2:12" ht="15.75">
      <c r="B10" s="52" t="s">
        <v>29</v>
      </c>
      <c r="H10" s="59"/>
    </row>
    <row r="11" spans="2:12" ht="15.75">
      <c r="J11" s="52" t="s">
        <v>30</v>
      </c>
    </row>
    <row r="12" spans="2:12" ht="15.75">
      <c r="B12" s="36" t="s">
        <v>3</v>
      </c>
      <c r="C12" s="36" t="s">
        <v>4</v>
      </c>
    </row>
    <row r="13" spans="2:12" ht="15.75">
      <c r="B13" s="39" t="s">
        <v>31</v>
      </c>
      <c r="C13" s="42">
        <v>55000</v>
      </c>
      <c r="J13" s="15" t="s">
        <v>3</v>
      </c>
      <c r="K13" s="15" t="s">
        <v>32</v>
      </c>
      <c r="L13" s="16" t="s">
        <v>33</v>
      </c>
    </row>
    <row r="14" spans="2:12">
      <c r="B14" s="40" t="s">
        <v>34</v>
      </c>
      <c r="C14" s="43">
        <v>72000</v>
      </c>
      <c r="J14" s="5" t="s">
        <v>35</v>
      </c>
      <c r="K14" s="5" t="s">
        <v>36</v>
      </c>
      <c r="L14" s="6" t="s">
        <v>17</v>
      </c>
    </row>
    <row r="15" spans="2:12">
      <c r="B15" s="39" t="s">
        <v>20</v>
      </c>
      <c r="C15" s="42">
        <v>62000</v>
      </c>
      <c r="J15" s="7" t="s">
        <v>37</v>
      </c>
      <c r="K15" s="7" t="s">
        <v>38</v>
      </c>
      <c r="L15" s="8" t="s">
        <v>13</v>
      </c>
    </row>
    <row r="16" spans="2:12">
      <c r="B16" s="41" t="s">
        <v>37</v>
      </c>
      <c r="C16" s="44">
        <v>41000</v>
      </c>
      <c r="J16" s="9" t="s">
        <v>12</v>
      </c>
      <c r="K16" s="9" t="s">
        <v>39</v>
      </c>
      <c r="L16" s="10" t="s">
        <v>40</v>
      </c>
    </row>
    <row r="17" spans="2:12">
      <c r="B17" s="45" t="s">
        <v>41</v>
      </c>
      <c r="C17" s="46" t="str">
        <f>INDEX(B13:B16,MATCH("E105",B13:B16,0))</f>
        <v>E105</v>
      </c>
      <c r="I17" s="48"/>
      <c r="J17" s="7" t="s">
        <v>31</v>
      </c>
      <c r="K17" s="7" t="s">
        <v>42</v>
      </c>
      <c r="L17" s="8" t="s">
        <v>6</v>
      </c>
    </row>
    <row r="18" spans="2:12">
      <c r="J18" s="21" t="s">
        <v>41</v>
      </c>
      <c r="K18" s="27" t="str">
        <f>VLOOKUP($J16,$J$13:$L$17,3,FALSE)</f>
        <v>Finanace</v>
      </c>
      <c r="L18" s="20"/>
    </row>
    <row r="20" spans="2:12" ht="15.75">
      <c r="B20" s="52" t="s">
        <v>43</v>
      </c>
      <c r="J20" s="52" t="s">
        <v>44</v>
      </c>
    </row>
    <row r="22" spans="2:12" ht="15.75">
      <c r="B22" s="38" t="s">
        <v>21</v>
      </c>
      <c r="C22" s="38" t="s">
        <v>45</v>
      </c>
      <c r="E22" s="52" t="s">
        <v>46</v>
      </c>
      <c r="J22" s="25" t="s">
        <v>9</v>
      </c>
      <c r="K22" s="25" t="s">
        <v>10</v>
      </c>
      <c r="L22" s="25" t="s">
        <v>11</v>
      </c>
    </row>
    <row r="23" spans="2:12">
      <c r="B23" s="54">
        <v>0</v>
      </c>
      <c r="C23" s="55">
        <v>0.05</v>
      </c>
      <c r="J23" s="1" t="s">
        <v>47</v>
      </c>
      <c r="K23" s="1">
        <v>45</v>
      </c>
      <c r="L23" s="26" t="str">
        <f t="shared" ref="L23:L27" si="2">IF(K23&gt;=40,"Pass","Fail")</f>
        <v>Pass</v>
      </c>
    </row>
    <row r="24" spans="2:12" ht="15.75">
      <c r="B24" s="19">
        <v>20000</v>
      </c>
      <c r="C24" s="56">
        <v>0.1</v>
      </c>
      <c r="E24" s="35" t="s">
        <v>48</v>
      </c>
      <c r="F24" s="36" t="s">
        <v>49</v>
      </c>
      <c r="G24" s="37" t="s">
        <v>50</v>
      </c>
      <c r="H24" s="36" t="s">
        <v>51</v>
      </c>
      <c r="J24" s="1" t="s">
        <v>52</v>
      </c>
      <c r="K24" s="1">
        <v>72</v>
      </c>
      <c r="L24" s="26" t="str">
        <f t="shared" si="2"/>
        <v>Pass</v>
      </c>
    </row>
    <row r="25" spans="2:12">
      <c r="B25" s="54">
        <v>50000</v>
      </c>
      <c r="C25" s="55">
        <v>0.15</v>
      </c>
      <c r="E25" s="34" t="s">
        <v>53</v>
      </c>
      <c r="F25" s="34">
        <v>10</v>
      </c>
      <c r="G25" s="34">
        <v>12</v>
      </c>
      <c r="H25" s="49" t="str">
        <f>IF(F24&gt;G24,"Exceeded","Ok")</f>
        <v>Ok</v>
      </c>
      <c r="J25" s="1" t="s">
        <v>36</v>
      </c>
      <c r="K25" s="1">
        <v>55</v>
      </c>
      <c r="L25" s="26" t="str">
        <f t="shared" si="2"/>
        <v>Pass</v>
      </c>
    </row>
    <row r="26" spans="2:12">
      <c r="B26" s="19">
        <v>80000</v>
      </c>
      <c r="C26" s="57">
        <v>0.2</v>
      </c>
      <c r="E26" s="33" t="s">
        <v>54</v>
      </c>
      <c r="F26" s="33">
        <v>10</v>
      </c>
      <c r="G26" s="33">
        <v>15</v>
      </c>
      <c r="H26" s="50" t="str">
        <f t="shared" ref="H26:H27" si="3">IF(F25&gt;G25,"Exceeded","Ok")</f>
        <v>Ok</v>
      </c>
      <c r="J26" s="1" t="s">
        <v>55</v>
      </c>
      <c r="K26" s="1">
        <v>80</v>
      </c>
      <c r="L26" s="26" t="str">
        <f t="shared" si="2"/>
        <v>Pass</v>
      </c>
    </row>
    <row r="27" spans="2:12">
      <c r="B27" s="32" t="s">
        <v>41</v>
      </c>
      <c r="C27" s="31">
        <f>VLOOKUP(45000,$B$23:$C$26,2,TRUE)</f>
        <v>0.1</v>
      </c>
      <c r="D27" s="1"/>
      <c r="E27" s="34" t="s">
        <v>56</v>
      </c>
      <c r="F27" s="34">
        <v>8</v>
      </c>
      <c r="G27" s="34">
        <v>12</v>
      </c>
      <c r="H27" s="49" t="str">
        <f t="shared" si="3"/>
        <v>Ok</v>
      </c>
      <c r="J27" s="1" t="s">
        <v>57</v>
      </c>
      <c r="K27" s="1">
        <v>30</v>
      </c>
      <c r="L27" s="26" t="str">
        <f t="shared" si="2"/>
        <v>Fail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Aditi Kashyap</cp:lastModifiedBy>
  <cp:revision/>
  <dcterms:created xsi:type="dcterms:W3CDTF">2025-12-19T06:39:40Z</dcterms:created>
  <dcterms:modified xsi:type="dcterms:W3CDTF">2025-12-20T16:33:06Z</dcterms:modified>
  <cp:category/>
  <cp:contentStatus/>
</cp:coreProperties>
</file>